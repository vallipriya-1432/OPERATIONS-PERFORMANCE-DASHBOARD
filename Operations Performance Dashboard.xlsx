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EA0BF879-BF7F-4CE4-B828-16E2E3C9A98B}" xr6:coauthVersionLast="47" xr6:coauthVersionMax="47" xr10:uidLastSave="{00000000-0000-0000-0000-000000000000}"/>
  <bookViews>
    <workbookView xWindow="6816" yWindow="1800" windowWidth="17280" windowHeight="8880" firstSheet="1" activeTab="2" xr2:uid="{9DD91442-2187-433B-AF68-05D43AF29AD8}"/>
  </bookViews>
  <sheets>
    <sheet name="Data" sheetId="1" r:id="rId1"/>
    <sheet name="Summary " sheetId="2" r:id="rId2"/>
    <sheet name="Dashboard" sheetId="5" r:id="rId3"/>
  </sheets>
  <externalReferences>
    <externalReference r:id="rId4"/>
  </externalReferences>
  <definedNames>
    <definedName name="Slicer_DATE">#N/A</definedName>
    <definedName name="Slicer_DEPARTMENT">#N/A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5" l="1"/>
  <c r="G3" i="5"/>
  <c r="C3" i="5"/>
  <c r="A3" i="5"/>
</calcChain>
</file>

<file path=xl/sharedStrings.xml><?xml version="1.0" encoding="utf-8"?>
<sst xmlns="http://schemas.openxmlformats.org/spreadsheetml/2006/main" count="87" uniqueCount="50">
  <si>
    <t>DATE</t>
  </si>
  <si>
    <t>DEPARTMENT</t>
  </si>
  <si>
    <t>EMPLOYEE</t>
  </si>
  <si>
    <t>TASKS ASSIGNED</t>
  </si>
  <si>
    <t>TASKS COMPLETED</t>
  </si>
  <si>
    <t>HOURS WORKED</t>
  </si>
  <si>
    <t>ON-TIME %</t>
  </si>
  <si>
    <t>ERRORS</t>
  </si>
  <si>
    <t>REGION</t>
  </si>
  <si>
    <t>Sales</t>
  </si>
  <si>
    <t>HR</t>
  </si>
  <si>
    <t>Operations</t>
  </si>
  <si>
    <t>Finance</t>
  </si>
  <si>
    <t>Analyst</t>
  </si>
  <si>
    <t>IT</t>
  </si>
  <si>
    <t>JOHN</t>
  </si>
  <si>
    <t>SURESH</t>
  </si>
  <si>
    <t>HEMANTH</t>
  </si>
  <si>
    <t>ELAINE</t>
  </si>
  <si>
    <t>PRIYA</t>
  </si>
  <si>
    <t>PRANEETH</t>
  </si>
  <si>
    <t>ANDY</t>
  </si>
  <si>
    <t>SIDHARTH</t>
  </si>
  <si>
    <t>RAHUL</t>
  </si>
  <si>
    <t>MEENA</t>
  </si>
  <si>
    <t>JHANSI</t>
  </si>
  <si>
    <t>Civil</t>
  </si>
  <si>
    <t xml:space="preserve">GANESH </t>
  </si>
  <si>
    <t>ESWAR</t>
  </si>
  <si>
    <t>JENNIFER</t>
  </si>
  <si>
    <t>SOUNDARYA</t>
  </si>
  <si>
    <t>VENKAT</t>
  </si>
  <si>
    <t>SRINIVAS</t>
  </si>
  <si>
    <t>RAJVIR</t>
  </si>
  <si>
    <t>KRISHNA</t>
  </si>
  <si>
    <t>EAST</t>
  </si>
  <si>
    <t>SOUTH</t>
  </si>
  <si>
    <t>NORTH</t>
  </si>
  <si>
    <t>WEST</t>
  </si>
  <si>
    <t>Grand Total</t>
  </si>
  <si>
    <t xml:space="preserve"> TASKS COMPLETED</t>
  </si>
  <si>
    <t>Total ERRORS</t>
  </si>
  <si>
    <t>Avg HOURS WORKED</t>
  </si>
  <si>
    <t>Avg ON-TIME %</t>
  </si>
  <si>
    <t xml:space="preserve">DEPARTMENT </t>
  </si>
  <si>
    <t xml:space="preserve">Total Tasks Completed </t>
  </si>
  <si>
    <t>Avg On- Time %</t>
  </si>
  <si>
    <t>Total Errors</t>
  </si>
  <si>
    <t>Avg Hours Worked</t>
  </si>
  <si>
    <t>OPERATIONS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</si>
</sst>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0" formatCode="0.0%"/>
  </numFmts>
  <fonts count="6" x14ac:knownFonts="1">
    <font>
      <sz val="11"/>
      <color theme="1"/>
      <name val="Calibri"/>
      <family val="2"/>
      <scheme val="minor"/>
    </font>
    <font>
      <sz val="11"/>
      <color theme="1"/>
      <name val="Calibri"/>
      <family val="2"/>
      <scheme val="minor"/>
    </font>
    <font>
      <b/>
      <sz val="11"/>
      <color theme="3"/>
      <name val="Calibri"/>
      <family val="2"/>
      <scheme val="minor"/>
    </font>
    <font>
      <sz val="18"/>
      <color theme="1"/>
      <name val="Calibri"/>
      <family val="2"/>
      <scheme val="minor"/>
    </font>
    <font>
      <b/>
      <sz val="26"/>
      <color theme="4" tint="-0.499984740745262"/>
      <name val="Calibri"/>
      <family val="2"/>
      <scheme val="minor"/>
    </font>
    <font>
      <sz val="12"/>
      <color theme="4" tint="-0.499984740745262"/>
      <name val="Algerian"/>
      <family val="5"/>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Alignment="1">
      <alignment vertical="center" wrapText="1"/>
    </xf>
    <xf numFmtId="0" fontId="2" fillId="2" borderId="0" xfId="0" applyFont="1" applyFill="1"/>
    <xf numFmtId="14" fontId="0" fillId="0" borderId="0" xfId="0" applyNumberFormat="1"/>
    <xf numFmtId="14" fontId="2" fillId="2" borderId="0" xfId="0" applyNumberFormat="1" applyFont="1" applyFill="1"/>
    <xf numFmtId="14" fontId="0" fillId="0" borderId="0" xfId="0" applyNumberFormat="1" applyFont="1" applyAlignment="1">
      <alignment horizontal="left"/>
    </xf>
    <xf numFmtId="0" fontId="0" fillId="0" borderId="0" xfId="0" applyFont="1" applyAlignment="1">
      <alignment horizontal="left" vertical="center" wrapText="1"/>
    </xf>
    <xf numFmtId="0" fontId="0" fillId="0" borderId="0" xfId="0" applyFont="1" applyAlignment="1">
      <alignment horizontal="left"/>
    </xf>
    <xf numFmtId="0" fontId="0" fillId="0" borderId="0" xfId="0" applyFont="1" applyAlignment="1">
      <alignment horizontal="right" vertical="center" wrapText="1"/>
    </xf>
    <xf numFmtId="43" fontId="0" fillId="0" borderId="0" xfId="0" pivotButton="1" applyNumberFormat="1"/>
    <xf numFmtId="43" fontId="0" fillId="0" borderId="0" xfId="0" applyNumberFormat="1"/>
    <xf numFmtId="43" fontId="0" fillId="0" borderId="0" xfId="0" applyNumberFormat="1" applyAlignment="1">
      <alignment horizontal="left"/>
    </xf>
    <xf numFmtId="170" fontId="0" fillId="0" borderId="0" xfId="0" applyNumberFormat="1"/>
    <xf numFmtId="0" fontId="3" fillId="0" borderId="0" xfId="0" applyFont="1"/>
    <xf numFmtId="0" fontId="0" fillId="0" borderId="0" xfId="0" applyAlignment="1">
      <alignment horizontal="center"/>
    </xf>
    <xf numFmtId="0" fontId="4" fillId="0" borderId="0" xfId="0" applyFont="1" applyAlignment="1">
      <alignment horizontal="center"/>
    </xf>
    <xf numFmtId="0" fontId="0" fillId="0" borderId="0" xfId="0" applyBorder="1"/>
    <xf numFmtId="0" fontId="5" fillId="0" borderId="0" xfId="0" applyFont="1"/>
    <xf numFmtId="9" fontId="5" fillId="0" borderId="0" xfId="1" applyFont="1"/>
  </cellXfs>
  <cellStyles count="2">
    <cellStyle name="Normal" xfId="0" builtinId="0"/>
    <cellStyle name="Percent" xfId="1" builtinId="5"/>
  </cellStyles>
  <dxfs count="30">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70" formatCode="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70" formatCode="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70" formatCode="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70" formatCode="0.0%"/>
    </dxf>
    <dxf>
      <font>
        <b/>
        <i val="0"/>
        <strike val="0"/>
        <condense val="0"/>
        <extend val="0"/>
        <outline val="0"/>
        <shadow val="0"/>
        <u val="none"/>
        <vertAlign val="baseline"/>
        <sz val="11"/>
        <color theme="3"/>
        <name val="Calibri"/>
        <family val="2"/>
        <scheme val="minor"/>
      </font>
      <fill>
        <patternFill patternType="solid">
          <fgColor indexed="64"/>
          <bgColor theme="2" tint="-9.9978637043366805E-2"/>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160021</xdr:colOff>
      <xdr:row>5</xdr:row>
      <xdr:rowOff>15240</xdr:rowOff>
    </xdr:from>
    <xdr:to>
      <xdr:col>3</xdr:col>
      <xdr:colOff>556260</xdr:colOff>
      <xdr:row>20</xdr:row>
      <xdr:rowOff>27671</xdr:rowOff>
    </xdr:to>
    <xdr:pic>
      <xdr:nvPicPr>
        <xdr:cNvPr id="8" name="Picture 7">
          <a:extLst>
            <a:ext uri="{FF2B5EF4-FFF2-40B4-BE49-F238E27FC236}">
              <a16:creationId xmlns:a16="http://schemas.microsoft.com/office/drawing/2014/main" id="{9E541C3D-5434-6061-5B40-423145C2EAA0}"/>
            </a:ext>
          </a:extLst>
        </xdr:cNvPr>
        <xdr:cNvPicPr>
          <a:picLocks noChangeAspect="1"/>
        </xdr:cNvPicPr>
      </xdr:nvPicPr>
      <xdr:blipFill>
        <a:blip xmlns:r="http://schemas.openxmlformats.org/officeDocument/2006/relationships" r:embed="rId1"/>
        <a:stretch>
          <a:fillRect/>
        </a:stretch>
      </xdr:blipFill>
      <xdr:spPr>
        <a:xfrm>
          <a:off x="160021" y="1066800"/>
          <a:ext cx="4343399" cy="2755631"/>
        </a:xfrm>
        <a:prstGeom prst="rect">
          <a:avLst/>
        </a:prstGeom>
      </xdr:spPr>
    </xdr:pic>
    <xdr:clientData/>
  </xdr:twoCellAnchor>
  <xdr:twoCellAnchor editAs="oneCell">
    <xdr:from>
      <xdr:col>4</xdr:col>
      <xdr:colOff>647700</xdr:colOff>
      <xdr:row>4</xdr:row>
      <xdr:rowOff>160020</xdr:rowOff>
    </xdr:from>
    <xdr:to>
      <xdr:col>12</xdr:col>
      <xdr:colOff>187849</xdr:colOff>
      <xdr:row>19</xdr:row>
      <xdr:rowOff>172451</xdr:rowOff>
    </xdr:to>
    <xdr:pic>
      <xdr:nvPicPr>
        <xdr:cNvPr id="10" name="Picture 9">
          <a:extLst>
            <a:ext uri="{FF2B5EF4-FFF2-40B4-BE49-F238E27FC236}">
              <a16:creationId xmlns:a16="http://schemas.microsoft.com/office/drawing/2014/main" id="{A53691C8-07B7-7F89-A58B-5ED2AEF2632F}"/>
            </a:ext>
          </a:extLst>
        </xdr:cNvPr>
        <xdr:cNvPicPr>
          <a:picLocks noChangeAspect="1"/>
        </xdr:cNvPicPr>
      </xdr:nvPicPr>
      <xdr:blipFill>
        <a:blip xmlns:r="http://schemas.openxmlformats.org/officeDocument/2006/relationships" r:embed="rId2"/>
        <a:stretch>
          <a:fillRect/>
        </a:stretch>
      </xdr:blipFill>
      <xdr:spPr>
        <a:xfrm>
          <a:off x="5204460" y="1028700"/>
          <a:ext cx="4584589" cy="2755631"/>
        </a:xfrm>
        <a:prstGeom prst="rect">
          <a:avLst/>
        </a:prstGeom>
      </xdr:spPr>
    </xdr:pic>
    <xdr:clientData/>
  </xdr:twoCellAnchor>
  <xdr:twoCellAnchor editAs="oneCell">
    <xdr:from>
      <xdr:col>0</xdr:col>
      <xdr:colOff>266700</xdr:colOff>
      <xdr:row>22</xdr:row>
      <xdr:rowOff>15240</xdr:rowOff>
    </xdr:from>
    <xdr:to>
      <xdr:col>2</xdr:col>
      <xdr:colOff>647700</xdr:colOff>
      <xdr:row>37</xdr:row>
      <xdr:rowOff>167640</xdr:rowOff>
    </xdr:to>
    <mc:AlternateContent xmlns:mc="http://schemas.openxmlformats.org/markup-compatibility/2006">
      <mc:Choice xmlns:a14="http://schemas.microsoft.com/office/drawing/2010/main" Requires="a14">
        <xdr:graphicFrame macro="">
          <xdr:nvGraphicFramePr>
            <xdr:cNvPr id="11" name="DATE">
              <a:extLst>
                <a:ext uri="{FF2B5EF4-FFF2-40B4-BE49-F238E27FC236}">
                  <a16:creationId xmlns:a16="http://schemas.microsoft.com/office/drawing/2014/main" id="{44901AC4-39AD-41B9-9E7A-5762AA2ECD5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66700" y="4329941"/>
              <a:ext cx="2973779" cy="2824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1157541</xdr:colOff>
      <xdr:row>22</xdr:row>
      <xdr:rowOff>22860</xdr:rowOff>
    </xdr:from>
    <xdr:to>
      <xdr:col>7</xdr:col>
      <xdr:colOff>121221</xdr:colOff>
      <xdr:row>37</xdr:row>
      <xdr:rowOff>167640</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69A0C40F-0077-4E40-A4DF-DC7E10BDB2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750320" y="4337561"/>
              <a:ext cx="2941914" cy="2816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22</xdr:row>
      <xdr:rowOff>30480</xdr:rowOff>
    </xdr:from>
    <xdr:to>
      <xdr:col>12</xdr:col>
      <xdr:colOff>411480</xdr:colOff>
      <xdr:row>38</xdr:row>
      <xdr:rowOff>53340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C469B292-1F22-4C1E-9B94-A90FAE8FEC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07431" y="4345181"/>
              <a:ext cx="2842854" cy="287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237507</xdr:colOff>
      <xdr:row>42</xdr:row>
      <xdr:rowOff>158337</xdr:rowOff>
    </xdr:from>
    <xdr:ext cx="2855141" cy="436786"/>
    <xdr:sp macro="" textlink="">
      <xdr:nvSpPr>
        <xdr:cNvPr id="14" name="TextBox 13">
          <a:extLst>
            <a:ext uri="{FF2B5EF4-FFF2-40B4-BE49-F238E27FC236}">
              <a16:creationId xmlns:a16="http://schemas.microsoft.com/office/drawing/2014/main" id="{65DC6907-4C27-BDB3-8A25-A618FCEEB1A9}"/>
            </a:ext>
          </a:extLst>
        </xdr:cNvPr>
        <xdr:cNvSpPr txBox="1"/>
      </xdr:nvSpPr>
      <xdr:spPr>
        <a:xfrm>
          <a:off x="9876312" y="8035636"/>
          <a:ext cx="285514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Created</a:t>
          </a:r>
          <a:r>
            <a:rPr lang="en-IN" sz="1100" baseline="0"/>
            <a:t> by Vallipriya| Excel Dashboard Project</a:t>
          </a:r>
        </a:p>
        <a:p>
          <a:endParaRPr lang="en-IN" sz="1100"/>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ummar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mary "/>
      <sheetName val="Summary"/>
    </sheetNames>
    <sheetDataSet>
      <sheetData sheetId="0"/>
      <sheetData sheetId="1">
        <row r="11">
          <cell r="B11">
            <v>620</v>
          </cell>
          <cell r="C11">
            <v>78.8</v>
          </cell>
          <cell r="D11">
            <v>80</v>
          </cell>
          <cell r="E11">
            <v>36.4</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li" refreshedDate="45973.141169444447" createdVersion="8" refreshedVersion="8" minRefreshableVersion="3" recordCount="20" xr:uid="{1FCB9969-32ED-4205-93B3-53B1C3142CCF}">
  <cacheSource type="worksheet">
    <worksheetSource name="Table1"/>
  </cacheSource>
  <cacheFields count="9">
    <cacheField name="DATE" numFmtId="14">
      <sharedItems containsSemiMixedTypes="0" containsNonDate="0" containsDate="1" containsString="0" minDate="2025-10-04T00:00:00" maxDate="2025-11-20T00:00:00" count="15">
        <d v="2025-11-01T00:00:00"/>
        <d v="2025-11-02T00:00:00"/>
        <d v="2025-11-04T00:00:00"/>
        <d v="2025-11-06T00:00:00"/>
        <d v="2025-11-09T00:00:00"/>
        <d v="2025-11-03T00:00:00"/>
        <d v="2025-11-11T00:00:00"/>
        <d v="2025-11-07T00:00:00"/>
        <d v="2025-11-18T00:00:00"/>
        <d v="2025-11-15T00:00:00"/>
        <d v="2025-10-25T00:00:00"/>
        <d v="2025-10-16T00:00:00"/>
        <d v="2025-11-16T00:00:00"/>
        <d v="2025-11-19T00:00:00"/>
        <d v="2025-10-04T00:00:00"/>
      </sharedItems>
    </cacheField>
    <cacheField name="DEPARTMENT" numFmtId="0">
      <sharedItems count="7">
        <s v="Sales"/>
        <s v="HR"/>
        <s v="Operations"/>
        <s v="Finance"/>
        <s v="Analyst"/>
        <s v="IT"/>
        <s v="Civil"/>
      </sharedItems>
    </cacheField>
    <cacheField name="EMPLOYEE" numFmtId="0">
      <sharedItems/>
    </cacheField>
    <cacheField name="TASKS ASSIGNED" numFmtId="0">
      <sharedItems containsSemiMixedTypes="0" containsString="0" containsNumber="1" containsInteger="1" minValue="10" maxValue="70"/>
    </cacheField>
    <cacheField name="TASKS COMPLETED" numFmtId="0">
      <sharedItems containsSemiMixedTypes="0" containsString="0" containsNumber="1" containsInteger="1" minValue="9" maxValue="50"/>
    </cacheField>
    <cacheField name="HOURS WORKED" numFmtId="0">
      <sharedItems containsSemiMixedTypes="0" containsString="0" containsNumber="1" containsInteger="1" minValue="9" maxValue="90"/>
    </cacheField>
    <cacheField name="ON-TIME %" numFmtId="0">
      <sharedItems containsSemiMixedTypes="0" containsString="0" containsNumber="1" containsInteger="1" minValue="58" maxValue="95" count="18">
        <n v="93"/>
        <n v="65"/>
        <n v="95"/>
        <n v="85"/>
        <n v="75"/>
        <n v="90"/>
        <n v="76"/>
        <n v="72"/>
        <n v="86"/>
        <n v="74"/>
        <n v="83"/>
        <n v="61"/>
        <n v="58"/>
        <n v="59"/>
        <n v="89"/>
        <n v="87"/>
        <n v="84"/>
        <n v="82"/>
      </sharedItems>
    </cacheField>
    <cacheField name="ERRORS" numFmtId="0">
      <sharedItems containsSemiMixedTypes="0" containsString="0" containsNumber="1" containsInteger="1" minValue="0" maxValue="9"/>
    </cacheField>
    <cacheField name="REGION" numFmtId="0">
      <sharedItems count="4">
        <s v="EAST"/>
        <s v="SOUTH"/>
        <s v="NORTH"/>
        <s v="WEST"/>
      </sharedItems>
    </cacheField>
  </cacheFields>
  <extLst>
    <ext xmlns:x14="http://schemas.microsoft.com/office/spreadsheetml/2009/9/main" uri="{725AE2AE-9491-48be-B2B4-4EB974FC3084}">
      <x14:pivotCacheDefinition pivotCacheId="192092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JOHN"/>
    <n v="23"/>
    <n v="21"/>
    <n v="9"/>
    <x v="0"/>
    <n v="6"/>
    <x v="0"/>
  </r>
  <r>
    <x v="0"/>
    <x v="1"/>
    <s v="SURESH"/>
    <n v="42"/>
    <n v="39"/>
    <n v="42"/>
    <x v="1"/>
    <n v="5"/>
    <x v="1"/>
  </r>
  <r>
    <x v="0"/>
    <x v="2"/>
    <s v="HEMANTH"/>
    <n v="12"/>
    <n v="9"/>
    <n v="61"/>
    <x v="2"/>
    <n v="2"/>
    <x v="2"/>
  </r>
  <r>
    <x v="1"/>
    <x v="3"/>
    <s v="ELAINE"/>
    <n v="25"/>
    <n v="16"/>
    <n v="15"/>
    <x v="3"/>
    <n v="9"/>
    <x v="3"/>
  </r>
  <r>
    <x v="1"/>
    <x v="4"/>
    <s v="PRIYA"/>
    <n v="31"/>
    <n v="25"/>
    <n v="12"/>
    <x v="4"/>
    <n v="8"/>
    <x v="3"/>
  </r>
  <r>
    <x v="2"/>
    <x v="5"/>
    <s v="PRANEETH"/>
    <n v="20"/>
    <n v="19"/>
    <n v="19"/>
    <x v="5"/>
    <n v="3"/>
    <x v="1"/>
  </r>
  <r>
    <x v="3"/>
    <x v="3"/>
    <s v="ANDY"/>
    <n v="10"/>
    <n v="9"/>
    <n v="25"/>
    <x v="6"/>
    <n v="4"/>
    <x v="2"/>
  </r>
  <r>
    <x v="4"/>
    <x v="1"/>
    <s v="SIDHARTH"/>
    <n v="50"/>
    <n v="50"/>
    <n v="45"/>
    <x v="7"/>
    <n v="5"/>
    <x v="3"/>
  </r>
  <r>
    <x v="5"/>
    <x v="2"/>
    <s v="RAHUL"/>
    <n v="39"/>
    <n v="37"/>
    <n v="26"/>
    <x v="8"/>
    <n v="2"/>
    <x v="0"/>
  </r>
  <r>
    <x v="4"/>
    <x v="0"/>
    <s v="MEENA"/>
    <n v="48"/>
    <n v="40"/>
    <n v="45"/>
    <x v="9"/>
    <n v="8"/>
    <x v="0"/>
  </r>
  <r>
    <x v="6"/>
    <x v="5"/>
    <s v="JHANSI"/>
    <n v="45"/>
    <n v="43"/>
    <n v="90"/>
    <x v="10"/>
    <n v="7"/>
    <x v="0"/>
  </r>
  <r>
    <x v="7"/>
    <x v="4"/>
    <s v="JOHN"/>
    <n v="45"/>
    <n v="35"/>
    <n v="45"/>
    <x v="11"/>
    <n v="1"/>
    <x v="3"/>
  </r>
  <r>
    <x v="8"/>
    <x v="6"/>
    <s v="GANESH "/>
    <n v="19"/>
    <n v="17"/>
    <n v="26"/>
    <x v="12"/>
    <n v="6"/>
    <x v="2"/>
  </r>
  <r>
    <x v="9"/>
    <x v="3"/>
    <s v="ESWAR"/>
    <n v="50"/>
    <n v="45"/>
    <n v="75"/>
    <x v="13"/>
    <n v="0"/>
    <x v="2"/>
  </r>
  <r>
    <x v="10"/>
    <x v="2"/>
    <s v="JENNIFER"/>
    <n v="48"/>
    <n v="37"/>
    <n v="43"/>
    <x v="6"/>
    <n v="0"/>
    <x v="1"/>
  </r>
  <r>
    <x v="11"/>
    <x v="0"/>
    <s v="SOUNDARYA"/>
    <n v="40"/>
    <n v="37"/>
    <n v="15"/>
    <x v="14"/>
    <n v="0"/>
    <x v="0"/>
  </r>
  <r>
    <x v="11"/>
    <x v="1"/>
    <s v="VENKAT"/>
    <n v="30"/>
    <n v="25"/>
    <n v="32"/>
    <x v="15"/>
    <n v="4"/>
    <x v="1"/>
  </r>
  <r>
    <x v="12"/>
    <x v="3"/>
    <s v="SRINIVAS"/>
    <n v="40"/>
    <n v="36"/>
    <n v="18"/>
    <x v="8"/>
    <n v="0"/>
    <x v="1"/>
  </r>
  <r>
    <x v="13"/>
    <x v="1"/>
    <s v="RAJVIR"/>
    <n v="70"/>
    <n v="45"/>
    <n v="23"/>
    <x v="16"/>
    <n v="4"/>
    <x v="2"/>
  </r>
  <r>
    <x v="14"/>
    <x v="1"/>
    <s v="KRISHNA"/>
    <n v="45"/>
    <n v="35"/>
    <n v="62"/>
    <x v="17"/>
    <n v="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38D78-1EA1-4DCF-B7C1-C4DBE1937A7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
  <location ref="A3:E11" firstHeaderRow="0" firstDataRow="1" firstDataCol="1"/>
  <pivotFields count="9">
    <pivotField numFmtId="14" showAll="0">
      <items count="16">
        <item x="14"/>
        <item x="11"/>
        <item x="10"/>
        <item x="0"/>
        <item x="1"/>
        <item x="5"/>
        <item x="2"/>
        <item x="3"/>
        <item x="7"/>
        <item x="4"/>
        <item x="6"/>
        <item x="9"/>
        <item x="12"/>
        <item x="8"/>
        <item x="13"/>
        <item t="default"/>
      </items>
    </pivotField>
    <pivotField axis="axisRow" showAll="0">
      <items count="8">
        <item x="4"/>
        <item x="6"/>
        <item x="3"/>
        <item x="1"/>
        <item x="5"/>
        <item x="2"/>
        <item x="0"/>
        <item t="default"/>
      </items>
    </pivotField>
    <pivotField showAll="0"/>
    <pivotField showAll="0"/>
    <pivotField dataField="1" showAll="0"/>
    <pivotField dataField="1" showAll="0"/>
    <pivotField dataField="1" showAll="0">
      <items count="19">
        <item x="12"/>
        <item x="13"/>
        <item x="11"/>
        <item x="1"/>
        <item x="7"/>
        <item x="9"/>
        <item x="4"/>
        <item x="6"/>
        <item x="17"/>
        <item x="10"/>
        <item x="16"/>
        <item x="3"/>
        <item x="8"/>
        <item x="15"/>
        <item x="14"/>
        <item x="5"/>
        <item x="0"/>
        <item x="2"/>
        <item t="default"/>
      </items>
    </pivotField>
    <pivotField dataField="1" showAll="0"/>
    <pivotField showAll="0">
      <items count="5">
        <item x="0"/>
        <item x="2"/>
        <item x="1"/>
        <item x="3"/>
        <item t="default"/>
      </items>
    </pivotField>
  </pivotFields>
  <rowFields count="1">
    <field x="1"/>
  </rowFields>
  <rowItems count="8">
    <i>
      <x/>
    </i>
    <i>
      <x v="1"/>
    </i>
    <i>
      <x v="2"/>
    </i>
    <i>
      <x v="3"/>
    </i>
    <i>
      <x v="4"/>
    </i>
    <i>
      <x v="5"/>
    </i>
    <i>
      <x v="6"/>
    </i>
    <i t="grand">
      <x/>
    </i>
  </rowItems>
  <colFields count="1">
    <field x="-2"/>
  </colFields>
  <colItems count="4">
    <i>
      <x/>
    </i>
    <i i="1">
      <x v="1"/>
    </i>
    <i i="2">
      <x v="2"/>
    </i>
    <i i="3">
      <x v="3"/>
    </i>
  </colItems>
  <dataFields count="4">
    <dataField name=" TASKS COMPLETED" fld="4" baseField="1" baseItem="0"/>
    <dataField name="Avg ON-TIME %" fld="6" subtotal="average" baseField="1" baseItem="0"/>
    <dataField name="Total ERRORS" fld="7" baseField="1" baseItem="0"/>
    <dataField name="Avg HOURS WORKED" fld="5" subtotal="average" baseField="1" baseItem="0"/>
  </dataFields>
  <formats count="7">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fieldPosition="0">
        <references count="1">
          <reference field="1" count="0"/>
        </references>
      </pivotArea>
    </format>
    <format dxfId="18">
      <pivotArea dataOnly="0" labelOnly="1" grandRow="1" outline="0" fieldPosition="0"/>
    </format>
    <format dxfId="19">
      <pivotArea dataOnly="0" labelOnly="1" outline="0" fieldPosition="0">
        <references count="1">
          <reference field="4294967294" count="4">
            <x v="0"/>
            <x v="1"/>
            <x v="2"/>
            <x v="3"/>
          </reference>
        </references>
      </pivotArea>
    </format>
    <format dxfId="20">
      <pivotArea dataOnly="0" labelOnly="1" outline="0" fieldPosition="0">
        <references count="1">
          <reference field="4294967294" count="1">
            <x v="1"/>
          </reference>
        </references>
      </pivotArea>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599A3A2-F65E-4B22-8BA2-8A6BD34FF130}" sourceName="DATE">
  <pivotTables>
    <pivotTable tabId="2" name="PivotTable1"/>
  </pivotTables>
  <data>
    <tabular pivotCacheId="192092198">
      <items count="15">
        <i x="14" s="1"/>
        <i x="11" s="1"/>
        <i x="10" s="1"/>
        <i x="0" s="1"/>
        <i x="1" s="1"/>
        <i x="5" s="1"/>
        <i x="2" s="1"/>
        <i x="3" s="1"/>
        <i x="7" s="1"/>
        <i x="4" s="1"/>
        <i x="6" s="1"/>
        <i x="9" s="1"/>
        <i x="12" s="1"/>
        <i x="8"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0765BC-01E2-4AD7-A52D-02D5F1A6F2CC}" sourceName="DEPARTMENT">
  <pivotTables>
    <pivotTable tabId="2" name="PivotTable1"/>
  </pivotTables>
  <data>
    <tabular pivotCacheId="192092198">
      <items count="7">
        <i x="4" s="1"/>
        <i x="6" s="1"/>
        <i x="3" s="1"/>
        <i x="1" s="1"/>
        <i x="5"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142942-1276-4845-9FCC-8EF56E1B37FF}" sourceName="REGION">
  <pivotTables>
    <pivotTable tabId="2" name="PivotTable1"/>
  </pivotTables>
  <data>
    <tabular pivotCacheId="19209219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FEE974-554D-4937-A251-B485D669F76E}" cache="Slicer_DATE" caption="DATE" columnCount="2" style="SlicerStyleLight5" rowHeight="252000"/>
  <slicer name="DEPARTMENT" xr10:uid="{AEEDB24F-0E06-4BFA-8752-3DC067A311F5}" cache="Slicer_DEPARTMENT" caption="DEPARTMENT" style="SlicerStyleLight5" rowHeight="324000"/>
  <slicer name="REGION" xr10:uid="{C60E4D97-56CD-448C-8036-C2AC80EB193F}" cache="Slicer_REGION" caption="REGION" style="SlicerStyleLight5"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562D20-367D-4EE8-BCF3-CCA443A964CC}" name="Table1" displayName="Table1" ref="A1:I21" totalsRowShown="0" headerRowDxfId="28">
  <autoFilter ref="A1:I21" xr:uid="{0C562D20-367D-4EE8-BCF3-CCA443A964CC}"/>
  <tableColumns count="9">
    <tableColumn id="1" xr3:uid="{882E64EC-0B70-44E0-B194-9FE5EE3FD4A4}" name="DATE" dataDxfId="29"/>
    <tableColumn id="2" xr3:uid="{5FA4AE52-CD03-483C-A084-D35205B23426}" name="DEPARTMENT"/>
    <tableColumn id="3" xr3:uid="{FF569D35-8618-479A-8A5D-13CEE5E624DA}" name="EMPLOYEE"/>
    <tableColumn id="4" xr3:uid="{27530528-CE6B-4ACA-B37A-C6B15DFD27F7}" name="TASKS ASSIGNED"/>
    <tableColumn id="5" xr3:uid="{2AC4A3E4-7354-407A-A708-B2AE4ABE0F5A}" name="TASKS COMPLETED"/>
    <tableColumn id="6" xr3:uid="{47CD882D-E8BC-4FAA-8497-862596864599}" name="HOURS WORKED"/>
    <tableColumn id="7" xr3:uid="{24C56C54-CBF9-440A-BB50-69A3AB5A89DF}" name="ON-TIME %"/>
    <tableColumn id="8" xr3:uid="{9C9C60B0-4BB0-4770-B4E9-B93C3AAB5A1A}" name="ERRORS"/>
    <tableColumn id="9" xr3:uid="{014350FA-5135-453C-8BEE-1577A07A4B2F}" name="REG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9539-AB26-4444-8A2E-3227CA8F61C7}">
  <dimension ref="A1:J21"/>
  <sheetViews>
    <sheetView workbookViewId="0">
      <selection sqref="A1:I21"/>
    </sheetView>
  </sheetViews>
  <sheetFormatPr defaultRowHeight="14.4" x14ac:dyDescent="0.3"/>
  <cols>
    <col min="1" max="1" width="11.21875" style="3" customWidth="1"/>
    <col min="2" max="2" width="14.6640625" customWidth="1"/>
    <col min="3" max="3" width="14.33203125" customWidth="1"/>
    <col min="4" max="4" width="18.5546875" customWidth="1"/>
    <col min="5" max="5" width="19.109375" customWidth="1"/>
    <col min="6" max="6" width="22" customWidth="1"/>
    <col min="7" max="7" width="13.88671875" customWidth="1"/>
    <col min="8" max="8" width="12.88671875" customWidth="1"/>
    <col min="9" max="9" width="17.77734375" customWidth="1"/>
  </cols>
  <sheetData>
    <row r="1" spans="1:10" x14ac:dyDescent="0.3">
      <c r="A1" s="4" t="s">
        <v>0</v>
      </c>
      <c r="B1" s="2" t="s">
        <v>1</v>
      </c>
      <c r="C1" s="2" t="s">
        <v>2</v>
      </c>
      <c r="D1" s="2" t="s">
        <v>3</v>
      </c>
      <c r="E1" s="2" t="s">
        <v>4</v>
      </c>
      <c r="F1" s="2" t="s">
        <v>5</v>
      </c>
      <c r="G1" s="2" t="s">
        <v>6</v>
      </c>
      <c r="H1" s="2" t="s">
        <v>7</v>
      </c>
      <c r="I1" s="2" t="s">
        <v>8</v>
      </c>
    </row>
    <row r="2" spans="1:10" x14ac:dyDescent="0.3">
      <c r="A2" s="3">
        <v>45962</v>
      </c>
      <c r="B2" t="s">
        <v>9</v>
      </c>
      <c r="C2" t="s">
        <v>15</v>
      </c>
      <c r="D2">
        <v>23</v>
      </c>
      <c r="E2">
        <v>21</v>
      </c>
      <c r="F2">
        <v>9</v>
      </c>
      <c r="G2">
        <v>93</v>
      </c>
      <c r="H2">
        <v>6</v>
      </c>
      <c r="I2" t="s">
        <v>35</v>
      </c>
    </row>
    <row r="3" spans="1:10" x14ac:dyDescent="0.3">
      <c r="A3" s="3">
        <v>45962</v>
      </c>
      <c r="B3" t="s">
        <v>10</v>
      </c>
      <c r="C3" t="s">
        <v>16</v>
      </c>
      <c r="D3">
        <v>42</v>
      </c>
      <c r="E3">
        <v>39</v>
      </c>
      <c r="F3">
        <v>42</v>
      </c>
      <c r="G3">
        <v>65</v>
      </c>
      <c r="H3">
        <v>5</v>
      </c>
      <c r="I3" t="s">
        <v>36</v>
      </c>
    </row>
    <row r="4" spans="1:10" x14ac:dyDescent="0.3">
      <c r="A4" s="3">
        <v>45962</v>
      </c>
      <c r="B4" t="s">
        <v>11</v>
      </c>
      <c r="C4" t="s">
        <v>17</v>
      </c>
      <c r="D4">
        <v>12</v>
      </c>
      <c r="E4">
        <v>9</v>
      </c>
      <c r="F4">
        <v>61</v>
      </c>
      <c r="G4">
        <v>95</v>
      </c>
      <c r="H4">
        <v>2</v>
      </c>
      <c r="I4" t="s">
        <v>37</v>
      </c>
    </row>
    <row r="5" spans="1:10" x14ac:dyDescent="0.3">
      <c r="A5" s="3">
        <v>45963</v>
      </c>
      <c r="B5" t="s">
        <v>12</v>
      </c>
      <c r="C5" t="s">
        <v>18</v>
      </c>
      <c r="D5">
        <v>25</v>
      </c>
      <c r="E5">
        <v>16</v>
      </c>
      <c r="F5">
        <v>15</v>
      </c>
      <c r="G5">
        <v>85</v>
      </c>
      <c r="H5">
        <v>9</v>
      </c>
      <c r="I5" t="s">
        <v>38</v>
      </c>
    </row>
    <row r="6" spans="1:10" x14ac:dyDescent="0.3">
      <c r="A6" s="3">
        <v>45963</v>
      </c>
      <c r="B6" t="s">
        <v>13</v>
      </c>
      <c r="C6" t="s">
        <v>19</v>
      </c>
      <c r="D6">
        <v>31</v>
      </c>
      <c r="E6">
        <v>25</v>
      </c>
      <c r="F6">
        <v>12</v>
      </c>
      <c r="G6">
        <v>75</v>
      </c>
      <c r="H6">
        <v>8</v>
      </c>
      <c r="I6" t="s">
        <v>38</v>
      </c>
    </row>
    <row r="7" spans="1:10" x14ac:dyDescent="0.3">
      <c r="A7" s="3">
        <v>45965</v>
      </c>
      <c r="B7" t="s">
        <v>14</v>
      </c>
      <c r="C7" t="s">
        <v>20</v>
      </c>
      <c r="D7">
        <v>20</v>
      </c>
      <c r="E7">
        <v>19</v>
      </c>
      <c r="F7">
        <v>19</v>
      </c>
      <c r="G7">
        <v>90</v>
      </c>
      <c r="H7">
        <v>3</v>
      </c>
      <c r="I7" t="s">
        <v>36</v>
      </c>
    </row>
    <row r="8" spans="1:10" x14ac:dyDescent="0.3">
      <c r="A8" s="3">
        <v>45967</v>
      </c>
      <c r="B8" t="s">
        <v>12</v>
      </c>
      <c r="C8" t="s">
        <v>21</v>
      </c>
      <c r="D8">
        <v>10</v>
      </c>
      <c r="E8">
        <v>9</v>
      </c>
      <c r="F8">
        <v>25</v>
      </c>
      <c r="G8">
        <v>76</v>
      </c>
      <c r="H8">
        <v>4</v>
      </c>
      <c r="I8" t="s">
        <v>37</v>
      </c>
    </row>
    <row r="9" spans="1:10" x14ac:dyDescent="0.3">
      <c r="A9" s="3">
        <v>45970</v>
      </c>
      <c r="B9" t="s">
        <v>10</v>
      </c>
      <c r="C9" t="s">
        <v>22</v>
      </c>
      <c r="D9">
        <v>50</v>
      </c>
      <c r="E9">
        <v>50</v>
      </c>
      <c r="F9">
        <v>45</v>
      </c>
      <c r="G9">
        <v>72</v>
      </c>
      <c r="H9">
        <v>5</v>
      </c>
      <c r="I9" t="s">
        <v>38</v>
      </c>
    </row>
    <row r="10" spans="1:10" x14ac:dyDescent="0.3">
      <c r="A10" s="3">
        <v>45964</v>
      </c>
      <c r="B10" t="s">
        <v>11</v>
      </c>
      <c r="C10" t="s">
        <v>23</v>
      </c>
      <c r="D10">
        <v>39</v>
      </c>
      <c r="E10">
        <v>37</v>
      </c>
      <c r="F10">
        <v>26</v>
      </c>
      <c r="G10">
        <v>86</v>
      </c>
      <c r="H10">
        <v>2</v>
      </c>
      <c r="I10" t="s">
        <v>35</v>
      </c>
    </row>
    <row r="11" spans="1:10" x14ac:dyDescent="0.3">
      <c r="A11" s="3">
        <v>45970</v>
      </c>
      <c r="B11" t="s">
        <v>9</v>
      </c>
      <c r="C11" t="s">
        <v>24</v>
      </c>
      <c r="D11">
        <v>48</v>
      </c>
      <c r="E11">
        <v>40</v>
      </c>
      <c r="F11">
        <v>45</v>
      </c>
      <c r="G11">
        <v>74</v>
      </c>
      <c r="H11">
        <v>8</v>
      </c>
      <c r="I11" t="s">
        <v>35</v>
      </c>
    </row>
    <row r="12" spans="1:10" x14ac:dyDescent="0.3">
      <c r="A12" s="3">
        <v>45972</v>
      </c>
      <c r="B12" t="s">
        <v>14</v>
      </c>
      <c r="C12" t="s">
        <v>25</v>
      </c>
      <c r="D12">
        <v>45</v>
      </c>
      <c r="E12">
        <v>43</v>
      </c>
      <c r="F12">
        <v>90</v>
      </c>
      <c r="G12">
        <v>83</v>
      </c>
      <c r="H12">
        <v>7</v>
      </c>
      <c r="I12" t="s">
        <v>35</v>
      </c>
    </row>
    <row r="13" spans="1:10" s="7" customFormat="1" x14ac:dyDescent="0.3">
      <c r="A13" s="5">
        <v>45968</v>
      </c>
      <c r="B13" s="6" t="s">
        <v>13</v>
      </c>
      <c r="C13" s="6" t="s">
        <v>15</v>
      </c>
      <c r="D13" s="8">
        <v>45</v>
      </c>
      <c r="E13" s="6">
        <v>35</v>
      </c>
      <c r="F13" s="6">
        <v>45</v>
      </c>
      <c r="G13" s="6">
        <v>61</v>
      </c>
      <c r="H13" s="6">
        <v>1</v>
      </c>
      <c r="I13" s="6" t="s">
        <v>38</v>
      </c>
      <c r="J13" s="6"/>
    </row>
    <row r="14" spans="1:10" x14ac:dyDescent="0.3">
      <c r="A14" s="3">
        <v>45979</v>
      </c>
      <c r="B14" s="1" t="s">
        <v>26</v>
      </c>
      <c r="C14" s="1" t="s">
        <v>27</v>
      </c>
      <c r="D14" s="1">
        <v>19</v>
      </c>
      <c r="E14" s="1">
        <v>17</v>
      </c>
      <c r="F14" s="1">
        <v>26</v>
      </c>
      <c r="G14" s="1">
        <v>58</v>
      </c>
      <c r="H14" s="1">
        <v>6</v>
      </c>
      <c r="I14" s="1" t="s">
        <v>37</v>
      </c>
      <c r="J14" s="1"/>
    </row>
    <row r="15" spans="1:10" x14ac:dyDescent="0.3">
      <c r="A15" s="3">
        <v>45976</v>
      </c>
      <c r="B15" t="s">
        <v>12</v>
      </c>
      <c r="C15" t="s">
        <v>28</v>
      </c>
      <c r="D15">
        <v>50</v>
      </c>
      <c r="E15">
        <v>45</v>
      </c>
      <c r="F15">
        <v>75</v>
      </c>
      <c r="G15">
        <v>59</v>
      </c>
      <c r="H15">
        <v>0</v>
      </c>
      <c r="I15" t="s">
        <v>37</v>
      </c>
    </row>
    <row r="16" spans="1:10" x14ac:dyDescent="0.3">
      <c r="A16" s="3">
        <v>45955</v>
      </c>
      <c r="B16" t="s">
        <v>11</v>
      </c>
      <c r="C16" t="s">
        <v>29</v>
      </c>
      <c r="D16">
        <v>48</v>
      </c>
      <c r="E16">
        <v>37</v>
      </c>
      <c r="F16">
        <v>43</v>
      </c>
      <c r="G16">
        <v>76</v>
      </c>
      <c r="H16">
        <v>0</v>
      </c>
      <c r="I16" t="s">
        <v>36</v>
      </c>
    </row>
    <row r="17" spans="1:9" x14ac:dyDescent="0.3">
      <c r="A17" s="3">
        <v>45946</v>
      </c>
      <c r="B17" t="s">
        <v>9</v>
      </c>
      <c r="C17" t="s">
        <v>30</v>
      </c>
      <c r="D17">
        <v>40</v>
      </c>
      <c r="E17">
        <v>37</v>
      </c>
      <c r="F17">
        <v>15</v>
      </c>
      <c r="G17">
        <v>89</v>
      </c>
      <c r="H17">
        <v>0</v>
      </c>
      <c r="I17" t="s">
        <v>35</v>
      </c>
    </row>
    <row r="18" spans="1:9" x14ac:dyDescent="0.3">
      <c r="A18" s="3">
        <v>45946</v>
      </c>
      <c r="B18" t="s">
        <v>10</v>
      </c>
      <c r="C18" t="s">
        <v>31</v>
      </c>
      <c r="D18">
        <v>30</v>
      </c>
      <c r="E18">
        <v>25</v>
      </c>
      <c r="F18">
        <v>32</v>
      </c>
      <c r="G18">
        <v>87</v>
      </c>
      <c r="H18">
        <v>4</v>
      </c>
      <c r="I18" t="s">
        <v>36</v>
      </c>
    </row>
    <row r="19" spans="1:9" x14ac:dyDescent="0.3">
      <c r="A19" s="3">
        <v>45977</v>
      </c>
      <c r="B19" t="s">
        <v>12</v>
      </c>
      <c r="C19" t="s">
        <v>32</v>
      </c>
      <c r="D19">
        <v>40</v>
      </c>
      <c r="E19">
        <v>36</v>
      </c>
      <c r="F19">
        <v>18</v>
      </c>
      <c r="G19">
        <v>86</v>
      </c>
      <c r="H19">
        <v>0</v>
      </c>
      <c r="I19" t="s">
        <v>36</v>
      </c>
    </row>
    <row r="20" spans="1:9" x14ac:dyDescent="0.3">
      <c r="A20" s="3">
        <v>45980</v>
      </c>
      <c r="B20" t="s">
        <v>10</v>
      </c>
      <c r="C20" t="s">
        <v>33</v>
      </c>
      <c r="D20">
        <v>70</v>
      </c>
      <c r="E20">
        <v>45</v>
      </c>
      <c r="F20">
        <v>23</v>
      </c>
      <c r="G20">
        <v>84</v>
      </c>
      <c r="H20">
        <v>4</v>
      </c>
      <c r="I20" t="s">
        <v>37</v>
      </c>
    </row>
    <row r="21" spans="1:9" x14ac:dyDescent="0.3">
      <c r="A21" s="3">
        <v>45934</v>
      </c>
      <c r="B21" t="s">
        <v>10</v>
      </c>
      <c r="C21" t="s">
        <v>34</v>
      </c>
      <c r="D21">
        <v>45</v>
      </c>
      <c r="E21">
        <v>35</v>
      </c>
      <c r="F21">
        <v>62</v>
      </c>
      <c r="G21">
        <v>82</v>
      </c>
      <c r="H21">
        <v>6</v>
      </c>
      <c r="I2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AFD5E-0008-4EC1-873E-AEC104418E21}">
  <dimension ref="A3:E11"/>
  <sheetViews>
    <sheetView workbookViewId="0">
      <selection activeCell="D24" sqref="D24"/>
    </sheetView>
  </sheetViews>
  <sheetFormatPr defaultRowHeight="14.4" x14ac:dyDescent="0.3"/>
  <cols>
    <col min="1" max="1" width="16.44140625" bestFit="1" customWidth="1"/>
    <col min="2" max="2" width="18.77734375" bestFit="1" customWidth="1"/>
    <col min="3" max="3" width="14.33203125" bestFit="1" customWidth="1"/>
    <col min="4" max="4" width="13.33203125" bestFit="1" customWidth="1"/>
    <col min="5" max="5" width="19.77734375" bestFit="1" customWidth="1"/>
    <col min="6" max="19" width="3" bestFit="1" customWidth="1"/>
    <col min="20" max="20" width="14.21875" bestFit="1" customWidth="1"/>
    <col min="21" max="37" width="3" bestFit="1" customWidth="1"/>
    <col min="38" max="38" width="21.77734375" bestFit="1" customWidth="1"/>
    <col min="39" max="55" width="3" bestFit="1" customWidth="1"/>
    <col min="56" max="56" width="17.21875" bestFit="1" customWidth="1"/>
    <col min="57" max="62" width="3" bestFit="1" customWidth="1"/>
    <col min="63" max="63" width="4" bestFit="1" customWidth="1"/>
    <col min="64" max="67" width="3" bestFit="1" customWidth="1"/>
    <col min="68" max="68" width="4" bestFit="1" customWidth="1"/>
    <col min="69" max="73" width="3" bestFit="1" customWidth="1"/>
    <col min="74" max="74" width="28.77734375" bestFit="1" customWidth="1"/>
    <col min="75" max="75" width="19" bestFit="1" customWidth="1"/>
    <col min="76" max="76" width="26.5546875" bestFit="1" customWidth="1"/>
    <col min="77" max="77" width="22" bestFit="1" customWidth="1"/>
  </cols>
  <sheetData>
    <row r="3" spans="1:5" x14ac:dyDescent="0.3">
      <c r="A3" s="9" t="s">
        <v>44</v>
      </c>
      <c r="B3" s="10" t="s">
        <v>40</v>
      </c>
      <c r="C3" s="12" t="s">
        <v>43</v>
      </c>
      <c r="D3" s="10" t="s">
        <v>41</v>
      </c>
      <c r="E3" s="10" t="s">
        <v>42</v>
      </c>
    </row>
    <row r="4" spans="1:5" x14ac:dyDescent="0.3">
      <c r="A4" s="11" t="s">
        <v>13</v>
      </c>
      <c r="B4" s="10">
        <v>60</v>
      </c>
      <c r="C4" s="10">
        <v>68</v>
      </c>
      <c r="D4" s="10">
        <v>9</v>
      </c>
      <c r="E4" s="10">
        <v>28.5</v>
      </c>
    </row>
    <row r="5" spans="1:5" x14ac:dyDescent="0.3">
      <c r="A5" s="11" t="s">
        <v>26</v>
      </c>
      <c r="B5" s="10">
        <v>17</v>
      </c>
      <c r="C5" s="10">
        <v>58</v>
      </c>
      <c r="D5" s="10">
        <v>6</v>
      </c>
      <c r="E5" s="10">
        <v>26</v>
      </c>
    </row>
    <row r="6" spans="1:5" x14ac:dyDescent="0.3">
      <c r="A6" s="11" t="s">
        <v>12</v>
      </c>
      <c r="B6" s="10">
        <v>106</v>
      </c>
      <c r="C6" s="10">
        <v>76.5</v>
      </c>
      <c r="D6" s="10">
        <v>13</v>
      </c>
      <c r="E6" s="10">
        <v>33.25</v>
      </c>
    </row>
    <row r="7" spans="1:5" x14ac:dyDescent="0.3">
      <c r="A7" s="11" t="s">
        <v>10</v>
      </c>
      <c r="B7" s="10">
        <v>194</v>
      </c>
      <c r="C7" s="10">
        <v>78</v>
      </c>
      <c r="D7" s="10">
        <v>24</v>
      </c>
      <c r="E7" s="10">
        <v>40.799999999999997</v>
      </c>
    </row>
    <row r="8" spans="1:5" x14ac:dyDescent="0.3">
      <c r="A8" s="11" t="s">
        <v>14</v>
      </c>
      <c r="B8" s="10">
        <v>62</v>
      </c>
      <c r="C8" s="10">
        <v>86.5</v>
      </c>
      <c r="D8" s="10">
        <v>10</v>
      </c>
      <c r="E8" s="10">
        <v>54.5</v>
      </c>
    </row>
    <row r="9" spans="1:5" x14ac:dyDescent="0.3">
      <c r="A9" s="11" t="s">
        <v>11</v>
      </c>
      <c r="B9" s="10">
        <v>83</v>
      </c>
      <c r="C9" s="10">
        <v>85.666666666666671</v>
      </c>
      <c r="D9" s="10">
        <v>4</v>
      </c>
      <c r="E9" s="10">
        <v>43.333333333333336</v>
      </c>
    </row>
    <row r="10" spans="1:5" x14ac:dyDescent="0.3">
      <c r="A10" s="11" t="s">
        <v>9</v>
      </c>
      <c r="B10" s="10">
        <v>98</v>
      </c>
      <c r="C10" s="10">
        <v>85.333333333333329</v>
      </c>
      <c r="D10" s="10">
        <v>14</v>
      </c>
      <c r="E10" s="10">
        <v>23</v>
      </c>
    </row>
    <row r="11" spans="1:5" x14ac:dyDescent="0.3">
      <c r="A11" s="11" t="s">
        <v>39</v>
      </c>
      <c r="B11" s="10">
        <v>620</v>
      </c>
      <c r="C11" s="10">
        <v>78.8</v>
      </c>
      <c r="D11" s="10">
        <v>80</v>
      </c>
      <c r="E11" s="10">
        <v>36.4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CC7C-7878-4980-8152-47EF09CE5681}">
  <dimension ref="A1:O19"/>
  <sheetViews>
    <sheetView showRowColHeaders="0" tabSelected="1" topLeftCell="A28" zoomScale="77" workbookViewId="0">
      <selection activeCell="L49" sqref="L49"/>
    </sheetView>
  </sheetViews>
  <sheetFormatPr defaultRowHeight="14.4" x14ac:dyDescent="0.3"/>
  <cols>
    <col min="1" max="1" width="28.88671875" customWidth="1"/>
    <col min="3" max="3" width="19.77734375" customWidth="1"/>
    <col min="5" max="5" width="11.33203125" customWidth="1"/>
  </cols>
  <sheetData>
    <row r="1" spans="1:15" ht="33.6" x14ac:dyDescent="0.65">
      <c r="A1" s="15" t="s">
        <v>49</v>
      </c>
      <c r="B1" s="14"/>
      <c r="C1" s="14"/>
      <c r="D1" s="14"/>
      <c r="E1" s="14"/>
      <c r="F1" s="14"/>
      <c r="G1" s="14"/>
      <c r="H1" s="14"/>
      <c r="I1" s="14"/>
      <c r="J1" s="14"/>
      <c r="K1" s="14"/>
    </row>
    <row r="2" spans="1:15" ht="16.2" x14ac:dyDescent="0.3">
      <c r="A2" s="17" t="s">
        <v>45</v>
      </c>
      <c r="C2" s="18" t="s">
        <v>46</v>
      </c>
      <c r="E2" s="17" t="s">
        <v>47</v>
      </c>
      <c r="G2" s="17" t="s">
        <v>48</v>
      </c>
    </row>
    <row r="3" spans="1:15" ht="23.4" x14ac:dyDescent="0.45">
      <c r="A3" s="13">
        <f>'[1]Summary '!B11</f>
        <v>620</v>
      </c>
      <c r="C3" s="13">
        <f>'[1]Summary '!C11</f>
        <v>78.8</v>
      </c>
      <c r="E3" s="13">
        <f>'[1]Summary '!D11</f>
        <v>80</v>
      </c>
      <c r="G3" s="13">
        <f>'[1]Summary '!E11</f>
        <v>36.4</v>
      </c>
    </row>
    <row r="7" spans="1:15" x14ac:dyDescent="0.3">
      <c r="O7" s="16"/>
    </row>
    <row r="19" spans="15:15" x14ac:dyDescent="0.3">
      <c r="O19" s="16"/>
    </row>
  </sheetData>
  <mergeCells count="1">
    <mergeCell ref="A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Summary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Valli Priya</dc:creator>
  <cp:lastModifiedBy>Valli Priya</cp:lastModifiedBy>
  <dcterms:created xsi:type="dcterms:W3CDTF">2025-11-12T02:57:55Z</dcterms:created>
  <dcterms:modified xsi:type="dcterms:W3CDTF">2025-11-12T04:48:42Z</dcterms:modified>
</cp:coreProperties>
</file>